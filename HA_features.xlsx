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s_juneja_tue_nl/Documents/Research Paper/Data/"/>
    </mc:Choice>
  </mc:AlternateContent>
  <xr:revisionPtr revIDLastSave="426" documentId="8_{90A399A0-AF7C-4F79-8906-32B6CBE50254}" xr6:coauthVersionLast="47" xr6:coauthVersionMax="47" xr10:uidLastSave="{A4FAA0A0-CCF7-4D1B-92A8-CCEF620A3DB3}"/>
  <bookViews>
    <workbookView xWindow="5760" yWindow="0" windowWidth="17280" windowHeight="8880" xr2:uid="{26DE5A6A-0237-4FED-B358-95B3FA22190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</calcChain>
</file>

<file path=xl/sharedStrings.xml><?xml version="1.0" encoding="utf-8"?>
<sst xmlns="http://schemas.openxmlformats.org/spreadsheetml/2006/main" count="59" uniqueCount="59">
  <si>
    <t>Housing Corporation (2022)</t>
  </si>
  <si>
    <t>Number of houses(DAEB)</t>
  </si>
  <si>
    <t>Number of houses(niet_DAEB)</t>
  </si>
  <si>
    <t>Total Housing</t>
  </si>
  <si>
    <t>Operation expense/unit</t>
  </si>
  <si>
    <t>Tenants Left</t>
  </si>
  <si>
    <t>Maintainance cost/unit</t>
  </si>
  <si>
    <t>Tenants Repair Request</t>
  </si>
  <si>
    <t>De Alliante</t>
  </si>
  <si>
    <t>Nijestee</t>
  </si>
  <si>
    <t>EigenHaard</t>
  </si>
  <si>
    <t>Actium</t>
  </si>
  <si>
    <t>Staedion</t>
  </si>
  <si>
    <t>Site Woondiensten</t>
  </si>
  <si>
    <t>Accolade</t>
  </si>
  <si>
    <t>Casade</t>
  </si>
  <si>
    <t>Woonstad Rotterdam</t>
  </si>
  <si>
    <t>Parteon</t>
  </si>
  <si>
    <t>Woonforte</t>
  </si>
  <si>
    <t>havensteder</t>
  </si>
  <si>
    <t>Kennemer Wonen</t>
  </si>
  <si>
    <t>De Woonplats</t>
  </si>
  <si>
    <t>Woonin</t>
  </si>
  <si>
    <t>Goed Wonen Gemert</t>
  </si>
  <si>
    <t>Dunavie</t>
  </si>
  <si>
    <t>Woningcorporatie Mooiland</t>
  </si>
  <si>
    <t>Woongoed Zeist</t>
  </si>
  <si>
    <t>WoonFriesland</t>
  </si>
  <si>
    <t>SallandWonen Woningstichting</t>
  </si>
  <si>
    <t>Alwel</t>
  </si>
  <si>
    <t>Zeeuwland</t>
  </si>
  <si>
    <t>Woningcorporatie Domijn</t>
  </si>
  <si>
    <t>WormerWonen</t>
  </si>
  <si>
    <t>De Goede Woning Zoetemeer</t>
  </si>
  <si>
    <t>ZOwonen</t>
  </si>
  <si>
    <t>Charlotte Van Beuningen - Woonstiching</t>
  </si>
  <si>
    <t>Oost Flevoland - Woondiensten</t>
  </si>
  <si>
    <t>De Huismeesters</t>
  </si>
  <si>
    <t>Wooningcorporatie Wold &amp; Waard</t>
  </si>
  <si>
    <t>Lefier</t>
  </si>
  <si>
    <t xml:space="preserve">Stek </t>
  </si>
  <si>
    <t>Woonstitching De Kernen</t>
  </si>
  <si>
    <t>Groningen Huis</t>
  </si>
  <si>
    <t>DeltaWonen</t>
  </si>
  <si>
    <t>Acantus</t>
  </si>
  <si>
    <t>Woonbedrijf ieder 1</t>
  </si>
  <si>
    <t>Dynhus: Thuis voor jou</t>
  </si>
  <si>
    <t>Leystromen</t>
  </si>
  <si>
    <t>Elkien</t>
  </si>
  <si>
    <t>Woonbron</t>
  </si>
  <si>
    <t>Servatius Wonen &amp; Vastgoed</t>
  </si>
  <si>
    <t>Antares</t>
  </si>
  <si>
    <t>Vecht en Omstrekken</t>
  </si>
  <si>
    <t>Ijsseldal Wonen</t>
  </si>
  <si>
    <t>Poort6</t>
  </si>
  <si>
    <t>Woonplus Schiedam</t>
  </si>
  <si>
    <t>MeerWonen</t>
  </si>
  <si>
    <t>De Woonschakel</t>
  </si>
  <si>
    <t>Affordability(Rent/month)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</si>
</sst>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83D5-074F-4814-84FB-202198633140}">
  <dimension ref="A1:I51"/>
  <sheetViews>
    <sheetView tabSelected="1" topLeftCell="C1" workbookViewId="0">
      <selection activeCell="H1" sqref="H1"/>
    </sheetView>
  </sheetViews>
  <sheetFormatPr defaultRowHeight="14.4" x14ac:dyDescent="0.3"/>
  <cols>
    <col min="1" max="2" width="31.6640625" customWidth="1"/>
    <col min="3" max="4" width="25.44140625" customWidth="1"/>
    <col min="5" max="5" width="27.5546875" customWidth="1"/>
    <col min="6" max="6" width="35.44140625" customWidth="1"/>
    <col min="7" max="7" width="22.88671875" customWidth="1"/>
    <col min="8" max="8" width="27.5546875" customWidth="1"/>
    <col min="9" max="9" width="2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</v>
      </c>
      <c r="I1" t="s">
        <v>7</v>
      </c>
    </row>
    <row r="2" spans="1:9" x14ac:dyDescent="0.3">
      <c r="A2" t="s">
        <v>8</v>
      </c>
      <c r="B2">
        <v>50343</v>
      </c>
      <c r="C2">
        <v>6218</v>
      </c>
      <c r="D2">
        <f t="shared" ref="D2:D33" si="0">SUM(B2,C2)</f>
        <v>56561</v>
      </c>
      <c r="E2">
        <v>781</v>
      </c>
      <c r="F2">
        <v>7.7</v>
      </c>
      <c r="G2">
        <v>3724</v>
      </c>
      <c r="H2">
        <v>586</v>
      </c>
      <c r="I2">
        <v>7.3</v>
      </c>
    </row>
    <row r="3" spans="1:9" x14ac:dyDescent="0.3">
      <c r="A3" t="s">
        <v>9</v>
      </c>
      <c r="B3">
        <v>12917</v>
      </c>
      <c r="C3">
        <v>207</v>
      </c>
      <c r="D3">
        <f t="shared" si="0"/>
        <v>13124</v>
      </c>
      <c r="E3">
        <v>761</v>
      </c>
      <c r="F3">
        <v>8</v>
      </c>
      <c r="G3">
        <v>2310</v>
      </c>
      <c r="H3">
        <v>525</v>
      </c>
      <c r="I3">
        <v>8.1999999999999993</v>
      </c>
    </row>
    <row r="4" spans="1:9" x14ac:dyDescent="0.3">
      <c r="A4" t="s">
        <v>10</v>
      </c>
      <c r="B4">
        <v>49815</v>
      </c>
      <c r="C4">
        <v>6924</v>
      </c>
      <c r="D4">
        <f t="shared" si="0"/>
        <v>56739</v>
      </c>
      <c r="E4">
        <v>768</v>
      </c>
      <c r="F4">
        <v>7.8</v>
      </c>
      <c r="G4">
        <v>3876</v>
      </c>
      <c r="H4">
        <v>585</v>
      </c>
      <c r="I4">
        <v>7.8</v>
      </c>
    </row>
    <row r="5" spans="1:9" x14ac:dyDescent="0.3">
      <c r="A5" t="s">
        <v>11</v>
      </c>
      <c r="B5">
        <v>15227</v>
      </c>
      <c r="C5">
        <v>27</v>
      </c>
      <c r="D5">
        <f t="shared" si="0"/>
        <v>15254</v>
      </c>
      <c r="E5">
        <v>850</v>
      </c>
      <c r="F5">
        <v>7.9</v>
      </c>
      <c r="G5">
        <v>2782</v>
      </c>
      <c r="H5">
        <v>535</v>
      </c>
      <c r="I5">
        <v>7.8</v>
      </c>
    </row>
    <row r="6" spans="1:9" x14ac:dyDescent="0.3">
      <c r="A6" t="s">
        <v>12</v>
      </c>
      <c r="B6">
        <v>32908</v>
      </c>
      <c r="C6">
        <v>3203</v>
      </c>
      <c r="D6">
        <f t="shared" si="0"/>
        <v>36111</v>
      </c>
      <c r="E6">
        <v>890</v>
      </c>
      <c r="F6">
        <v>7.9</v>
      </c>
      <c r="G6">
        <v>3511</v>
      </c>
      <c r="H6">
        <v>569</v>
      </c>
      <c r="I6">
        <v>8</v>
      </c>
    </row>
    <row r="7" spans="1:9" x14ac:dyDescent="0.3">
      <c r="A7" t="s">
        <v>13</v>
      </c>
      <c r="B7">
        <v>7495</v>
      </c>
      <c r="C7">
        <v>297</v>
      </c>
      <c r="D7">
        <f t="shared" si="0"/>
        <v>7792</v>
      </c>
      <c r="E7">
        <v>983</v>
      </c>
      <c r="F7">
        <v>6.7</v>
      </c>
      <c r="G7">
        <v>3658</v>
      </c>
      <c r="H7">
        <v>552</v>
      </c>
      <c r="I7">
        <v>7.5</v>
      </c>
    </row>
    <row r="8" spans="1:9" x14ac:dyDescent="0.3">
      <c r="A8" t="s">
        <v>14</v>
      </c>
      <c r="B8">
        <v>14863</v>
      </c>
      <c r="C8">
        <v>363</v>
      </c>
      <c r="D8">
        <f t="shared" si="0"/>
        <v>15226</v>
      </c>
      <c r="E8">
        <v>907</v>
      </c>
      <c r="F8">
        <v>7.4</v>
      </c>
      <c r="G8">
        <v>2570</v>
      </c>
      <c r="H8">
        <v>533</v>
      </c>
      <c r="I8">
        <v>8</v>
      </c>
    </row>
    <row r="9" spans="1:9" x14ac:dyDescent="0.3">
      <c r="A9" t="s">
        <v>15</v>
      </c>
      <c r="B9">
        <v>10363</v>
      </c>
      <c r="C9">
        <v>282</v>
      </c>
      <c r="D9">
        <f t="shared" si="0"/>
        <v>10645</v>
      </c>
      <c r="E9">
        <v>705</v>
      </c>
      <c r="F9">
        <v>7.2</v>
      </c>
      <c r="G9">
        <v>2514</v>
      </c>
      <c r="H9">
        <v>575</v>
      </c>
      <c r="I9">
        <v>7.2</v>
      </c>
    </row>
    <row r="10" spans="1:9" x14ac:dyDescent="0.3">
      <c r="A10" t="s">
        <v>16</v>
      </c>
      <c r="B10">
        <v>44105</v>
      </c>
      <c r="C10">
        <v>6792</v>
      </c>
      <c r="D10">
        <f t="shared" si="0"/>
        <v>50897</v>
      </c>
      <c r="E10">
        <v>838</v>
      </c>
      <c r="F10">
        <v>7.2</v>
      </c>
      <c r="G10">
        <v>3082</v>
      </c>
      <c r="H10">
        <v>548</v>
      </c>
      <c r="I10">
        <v>7.8</v>
      </c>
    </row>
    <row r="11" spans="1:9" x14ac:dyDescent="0.3">
      <c r="A11" t="s">
        <v>17</v>
      </c>
      <c r="B11">
        <v>14467</v>
      </c>
      <c r="C11">
        <v>1329</v>
      </c>
      <c r="D11">
        <f t="shared" si="0"/>
        <v>15796</v>
      </c>
      <c r="E11">
        <v>700</v>
      </c>
      <c r="F11">
        <v>7.4</v>
      </c>
      <c r="G11">
        <v>3340</v>
      </c>
      <c r="H11">
        <v>568</v>
      </c>
      <c r="I11">
        <v>7.4</v>
      </c>
    </row>
    <row r="12" spans="1:9" x14ac:dyDescent="0.3">
      <c r="A12" t="s">
        <v>18</v>
      </c>
      <c r="B12">
        <v>9676</v>
      </c>
      <c r="C12">
        <v>469</v>
      </c>
      <c r="D12">
        <f t="shared" si="0"/>
        <v>10145</v>
      </c>
      <c r="E12">
        <v>949</v>
      </c>
      <c r="F12">
        <v>7.7</v>
      </c>
      <c r="G12">
        <v>3339</v>
      </c>
      <c r="H12">
        <v>556</v>
      </c>
      <c r="I12">
        <v>7.8</v>
      </c>
    </row>
    <row r="13" spans="1:9" x14ac:dyDescent="0.3">
      <c r="A13" t="s">
        <v>19</v>
      </c>
      <c r="B13">
        <v>40647</v>
      </c>
      <c r="C13">
        <v>2139</v>
      </c>
      <c r="D13">
        <f t="shared" si="0"/>
        <v>42786</v>
      </c>
      <c r="E13">
        <v>816</v>
      </c>
      <c r="F13">
        <v>7.7</v>
      </c>
      <c r="G13">
        <v>3541</v>
      </c>
      <c r="H13">
        <v>575</v>
      </c>
      <c r="I13">
        <v>7.5</v>
      </c>
    </row>
    <row r="14" spans="1:9" x14ac:dyDescent="0.3">
      <c r="A14" t="s">
        <v>20</v>
      </c>
      <c r="B14">
        <v>9761</v>
      </c>
      <c r="C14">
        <v>402</v>
      </c>
      <c r="D14">
        <f t="shared" si="0"/>
        <v>10163</v>
      </c>
      <c r="E14">
        <v>758</v>
      </c>
      <c r="F14">
        <v>7.6</v>
      </c>
      <c r="G14">
        <v>3692</v>
      </c>
      <c r="H14">
        <v>558</v>
      </c>
      <c r="I14">
        <v>7.9</v>
      </c>
    </row>
    <row r="15" spans="1:9" x14ac:dyDescent="0.3">
      <c r="A15" t="s">
        <v>21</v>
      </c>
      <c r="B15">
        <v>15287</v>
      </c>
      <c r="C15">
        <v>668</v>
      </c>
      <c r="D15">
        <f t="shared" si="0"/>
        <v>15955</v>
      </c>
      <c r="E15">
        <v>857</v>
      </c>
      <c r="F15">
        <v>7.4</v>
      </c>
      <c r="G15">
        <v>2606</v>
      </c>
      <c r="H15">
        <v>585</v>
      </c>
      <c r="I15">
        <v>7.7</v>
      </c>
    </row>
    <row r="16" spans="1:9" x14ac:dyDescent="0.3">
      <c r="A16" t="s">
        <v>22</v>
      </c>
      <c r="B16">
        <v>32609</v>
      </c>
      <c r="C16">
        <v>2054</v>
      </c>
      <c r="D16">
        <f t="shared" si="0"/>
        <v>34663</v>
      </c>
      <c r="E16">
        <v>863</v>
      </c>
      <c r="F16">
        <v>7.8</v>
      </c>
      <c r="G16">
        <v>4008</v>
      </c>
      <c r="H16">
        <v>583</v>
      </c>
      <c r="I16">
        <v>7.3</v>
      </c>
    </row>
    <row r="17" spans="1:9" x14ac:dyDescent="0.3">
      <c r="A17" t="s">
        <v>23</v>
      </c>
      <c r="B17">
        <v>2584</v>
      </c>
      <c r="C17">
        <v>199</v>
      </c>
      <c r="D17">
        <f t="shared" si="0"/>
        <v>2783</v>
      </c>
      <c r="E17">
        <v>898</v>
      </c>
      <c r="F17">
        <v>7.7</v>
      </c>
      <c r="G17">
        <v>2668</v>
      </c>
      <c r="H17">
        <v>557</v>
      </c>
      <c r="I17">
        <v>7.8</v>
      </c>
    </row>
    <row r="18" spans="1:9" x14ac:dyDescent="0.3">
      <c r="A18" t="s">
        <v>24</v>
      </c>
      <c r="B18">
        <v>6559</v>
      </c>
      <c r="C18">
        <v>743</v>
      </c>
      <c r="D18">
        <f t="shared" si="0"/>
        <v>7302</v>
      </c>
      <c r="E18">
        <v>1148</v>
      </c>
      <c r="F18">
        <v>7.7</v>
      </c>
      <c r="G18">
        <v>2930</v>
      </c>
      <c r="H18">
        <v>555</v>
      </c>
      <c r="I18">
        <v>7.8</v>
      </c>
    </row>
    <row r="19" spans="1:9" x14ac:dyDescent="0.3">
      <c r="A19" t="s">
        <v>25</v>
      </c>
      <c r="B19">
        <v>21339</v>
      </c>
      <c r="C19">
        <v>269</v>
      </c>
      <c r="D19">
        <f t="shared" si="0"/>
        <v>21608</v>
      </c>
      <c r="E19">
        <v>816</v>
      </c>
      <c r="F19">
        <v>7.8</v>
      </c>
      <c r="G19">
        <v>3879</v>
      </c>
      <c r="H19">
        <v>571</v>
      </c>
      <c r="I19">
        <v>8.1</v>
      </c>
    </row>
    <row r="20" spans="1:9" x14ac:dyDescent="0.3">
      <c r="A20" t="s">
        <v>26</v>
      </c>
      <c r="B20">
        <v>16105</v>
      </c>
      <c r="C20">
        <v>200</v>
      </c>
      <c r="D20">
        <f t="shared" si="0"/>
        <v>16305</v>
      </c>
      <c r="E20">
        <v>800</v>
      </c>
      <c r="F20">
        <v>8.6999999999999993</v>
      </c>
      <c r="G20">
        <v>3000</v>
      </c>
      <c r="H20">
        <v>606</v>
      </c>
      <c r="I20">
        <v>7.5</v>
      </c>
    </row>
    <row r="21" spans="1:9" x14ac:dyDescent="0.3">
      <c r="A21" t="s">
        <v>27</v>
      </c>
      <c r="B21">
        <v>19373</v>
      </c>
      <c r="C21">
        <v>41</v>
      </c>
      <c r="D21">
        <f t="shared" si="0"/>
        <v>19414</v>
      </c>
      <c r="E21">
        <v>785</v>
      </c>
      <c r="F21">
        <v>7.7</v>
      </c>
      <c r="G21">
        <v>3058</v>
      </c>
      <c r="H21">
        <v>510</v>
      </c>
      <c r="I21">
        <v>7.7</v>
      </c>
    </row>
    <row r="22" spans="1:9" x14ac:dyDescent="0.3">
      <c r="A22" t="s">
        <v>28</v>
      </c>
      <c r="B22">
        <v>5244</v>
      </c>
      <c r="C22">
        <v>169</v>
      </c>
      <c r="D22">
        <f t="shared" si="0"/>
        <v>5413</v>
      </c>
      <c r="E22">
        <v>804</v>
      </c>
      <c r="F22">
        <v>7.8</v>
      </c>
      <c r="G22">
        <v>3269</v>
      </c>
      <c r="H22">
        <v>564</v>
      </c>
      <c r="I22">
        <v>7.9</v>
      </c>
    </row>
    <row r="23" spans="1:9" x14ac:dyDescent="0.3">
      <c r="A23" t="s">
        <v>29</v>
      </c>
      <c r="B23">
        <v>21683</v>
      </c>
      <c r="C23">
        <v>1008</v>
      </c>
      <c r="D23">
        <f t="shared" si="0"/>
        <v>22691</v>
      </c>
      <c r="E23">
        <v>888</v>
      </c>
      <c r="F23">
        <v>7.6</v>
      </c>
      <c r="G23">
        <v>2430</v>
      </c>
      <c r="H23">
        <v>561</v>
      </c>
      <c r="I23">
        <v>7.5</v>
      </c>
    </row>
    <row r="24" spans="1:9" x14ac:dyDescent="0.3">
      <c r="A24" t="s">
        <v>30</v>
      </c>
      <c r="B24">
        <v>5230</v>
      </c>
      <c r="C24">
        <v>348</v>
      </c>
      <c r="D24">
        <f t="shared" si="0"/>
        <v>5578</v>
      </c>
      <c r="E24">
        <v>765</v>
      </c>
      <c r="F24">
        <v>8.5</v>
      </c>
      <c r="G24">
        <v>3135</v>
      </c>
      <c r="H24">
        <v>565</v>
      </c>
      <c r="I24">
        <v>8.1</v>
      </c>
    </row>
    <row r="25" spans="1:9" x14ac:dyDescent="0.3">
      <c r="A25" t="s">
        <v>31</v>
      </c>
      <c r="B25">
        <v>13181</v>
      </c>
      <c r="C25">
        <v>789</v>
      </c>
      <c r="D25">
        <f t="shared" si="0"/>
        <v>13970</v>
      </c>
      <c r="E25">
        <v>1064</v>
      </c>
      <c r="F25">
        <v>7.7</v>
      </c>
      <c r="G25">
        <v>2869</v>
      </c>
      <c r="H25">
        <v>559</v>
      </c>
      <c r="I25">
        <v>7.7</v>
      </c>
    </row>
    <row r="26" spans="1:9" x14ac:dyDescent="0.3">
      <c r="A26" t="s">
        <v>32</v>
      </c>
      <c r="B26">
        <v>2233</v>
      </c>
      <c r="C26">
        <v>41</v>
      </c>
      <c r="D26">
        <f t="shared" si="0"/>
        <v>2274</v>
      </c>
      <c r="E26">
        <v>1002</v>
      </c>
      <c r="F26">
        <v>8.1999999999999993</v>
      </c>
      <c r="G26">
        <v>2124</v>
      </c>
      <c r="H26">
        <v>548</v>
      </c>
      <c r="I26">
        <v>7.9</v>
      </c>
    </row>
    <row r="27" spans="1:9" x14ac:dyDescent="0.3">
      <c r="A27" t="s">
        <v>33</v>
      </c>
      <c r="B27">
        <v>6107</v>
      </c>
      <c r="C27">
        <v>67</v>
      </c>
      <c r="D27">
        <f t="shared" si="0"/>
        <v>6174</v>
      </c>
      <c r="E27">
        <v>845</v>
      </c>
      <c r="F27">
        <v>7.2</v>
      </c>
      <c r="G27">
        <v>3482</v>
      </c>
      <c r="H27">
        <v>586</v>
      </c>
      <c r="I27">
        <v>7.7</v>
      </c>
    </row>
    <row r="28" spans="1:9" x14ac:dyDescent="0.3">
      <c r="A28" t="s">
        <v>34</v>
      </c>
      <c r="B28">
        <v>12993</v>
      </c>
      <c r="C28">
        <v>382</v>
      </c>
      <c r="D28">
        <f t="shared" si="0"/>
        <v>13375</v>
      </c>
      <c r="E28">
        <v>816</v>
      </c>
      <c r="F28">
        <v>7.9</v>
      </c>
      <c r="G28">
        <v>3730</v>
      </c>
      <c r="H28">
        <v>551</v>
      </c>
      <c r="I28">
        <v>7.9</v>
      </c>
    </row>
    <row r="29" spans="1:9" x14ac:dyDescent="0.3">
      <c r="A29" t="s">
        <v>35</v>
      </c>
      <c r="B29">
        <v>3080</v>
      </c>
      <c r="C29">
        <v>72</v>
      </c>
      <c r="D29">
        <f t="shared" si="0"/>
        <v>3152</v>
      </c>
      <c r="E29">
        <v>1279</v>
      </c>
      <c r="F29">
        <v>8.1</v>
      </c>
      <c r="G29">
        <v>1806</v>
      </c>
      <c r="H29">
        <v>553</v>
      </c>
      <c r="I29">
        <v>8</v>
      </c>
    </row>
    <row r="30" spans="1:9" x14ac:dyDescent="0.3">
      <c r="A30" t="s">
        <v>36</v>
      </c>
      <c r="B30">
        <v>4540</v>
      </c>
      <c r="C30">
        <v>10</v>
      </c>
      <c r="D30">
        <f t="shared" si="0"/>
        <v>4550</v>
      </c>
      <c r="E30">
        <v>699</v>
      </c>
      <c r="F30">
        <v>7.8</v>
      </c>
      <c r="G30">
        <v>2321</v>
      </c>
      <c r="H30">
        <v>586</v>
      </c>
      <c r="I30">
        <v>7.7</v>
      </c>
    </row>
    <row r="31" spans="1:9" x14ac:dyDescent="0.3">
      <c r="A31" t="s">
        <v>37</v>
      </c>
      <c r="B31">
        <v>7269</v>
      </c>
      <c r="C31">
        <v>24</v>
      </c>
      <c r="D31">
        <f t="shared" si="0"/>
        <v>7293</v>
      </c>
      <c r="E31">
        <v>660</v>
      </c>
      <c r="F31">
        <v>7.4</v>
      </c>
      <c r="G31">
        <v>3031</v>
      </c>
      <c r="H31">
        <v>546</v>
      </c>
      <c r="I31">
        <v>7.9</v>
      </c>
    </row>
    <row r="32" spans="1:9" x14ac:dyDescent="0.3">
      <c r="A32" t="s">
        <v>38</v>
      </c>
      <c r="B32">
        <v>4998</v>
      </c>
      <c r="C32">
        <v>6</v>
      </c>
      <c r="D32">
        <f t="shared" si="0"/>
        <v>5004</v>
      </c>
      <c r="E32">
        <v>868</v>
      </c>
      <c r="F32">
        <v>7.9</v>
      </c>
      <c r="G32">
        <v>2994</v>
      </c>
      <c r="H32">
        <v>512</v>
      </c>
      <c r="I32">
        <v>6.9</v>
      </c>
    </row>
    <row r="33" spans="1:9" x14ac:dyDescent="0.3">
      <c r="A33" t="s">
        <v>39</v>
      </c>
      <c r="B33">
        <v>27503</v>
      </c>
      <c r="C33">
        <v>1123</v>
      </c>
      <c r="D33">
        <f t="shared" si="0"/>
        <v>28626</v>
      </c>
      <c r="E33">
        <v>834</v>
      </c>
      <c r="F33">
        <v>7.3</v>
      </c>
      <c r="G33">
        <v>2795</v>
      </c>
      <c r="H33">
        <v>503</v>
      </c>
      <c r="I33">
        <v>7.4</v>
      </c>
    </row>
    <row r="34" spans="1:9" x14ac:dyDescent="0.3">
      <c r="A34" t="s">
        <v>40</v>
      </c>
      <c r="B34">
        <v>9887</v>
      </c>
      <c r="C34">
        <v>1092</v>
      </c>
      <c r="D34">
        <f t="shared" ref="D34:D51" si="1">SUM(B34,C34)</f>
        <v>10979</v>
      </c>
      <c r="E34">
        <v>901</v>
      </c>
      <c r="F34">
        <v>7.3</v>
      </c>
      <c r="G34">
        <v>2869</v>
      </c>
      <c r="H34">
        <v>586</v>
      </c>
      <c r="I34">
        <v>7.3</v>
      </c>
    </row>
    <row r="35" spans="1:9" x14ac:dyDescent="0.3">
      <c r="A35" t="s">
        <v>41</v>
      </c>
      <c r="B35">
        <v>5017</v>
      </c>
      <c r="C35">
        <v>69</v>
      </c>
      <c r="D35">
        <f t="shared" si="1"/>
        <v>5086</v>
      </c>
      <c r="E35">
        <v>713</v>
      </c>
      <c r="F35">
        <v>7.8</v>
      </c>
      <c r="G35">
        <v>2993</v>
      </c>
      <c r="H35">
        <v>559</v>
      </c>
      <c r="I35">
        <v>8.5</v>
      </c>
    </row>
    <row r="36" spans="1:9" x14ac:dyDescent="0.3">
      <c r="A36" t="s">
        <v>42</v>
      </c>
      <c r="B36">
        <v>4343</v>
      </c>
      <c r="C36">
        <v>45</v>
      </c>
      <c r="D36">
        <f t="shared" si="1"/>
        <v>4388</v>
      </c>
      <c r="E36">
        <v>667</v>
      </c>
      <c r="F36">
        <v>6.7</v>
      </c>
      <c r="G36">
        <v>2169</v>
      </c>
      <c r="H36">
        <v>524</v>
      </c>
      <c r="I36">
        <v>7.6</v>
      </c>
    </row>
    <row r="37" spans="1:9" x14ac:dyDescent="0.3">
      <c r="A37" t="s">
        <v>43</v>
      </c>
      <c r="B37">
        <v>14690</v>
      </c>
      <c r="C37">
        <v>83</v>
      </c>
      <c r="D37">
        <f t="shared" si="1"/>
        <v>14773</v>
      </c>
      <c r="E37">
        <v>864</v>
      </c>
      <c r="F37">
        <v>8.1999999999999993</v>
      </c>
      <c r="G37">
        <v>2769</v>
      </c>
      <c r="H37">
        <v>573</v>
      </c>
      <c r="I37">
        <v>8.3000000000000007</v>
      </c>
    </row>
    <row r="38" spans="1:9" x14ac:dyDescent="0.3">
      <c r="A38" t="s">
        <v>44</v>
      </c>
      <c r="B38">
        <v>12952</v>
      </c>
      <c r="C38">
        <v>87</v>
      </c>
      <c r="D38">
        <f t="shared" si="1"/>
        <v>13039</v>
      </c>
      <c r="E38">
        <v>804</v>
      </c>
      <c r="F38">
        <v>7.8</v>
      </c>
      <c r="G38">
        <v>3106</v>
      </c>
      <c r="H38">
        <v>524</v>
      </c>
      <c r="I38">
        <v>7.7</v>
      </c>
    </row>
    <row r="39" spans="1:9" x14ac:dyDescent="0.3">
      <c r="A39" t="s">
        <v>45</v>
      </c>
      <c r="B39">
        <v>13240</v>
      </c>
      <c r="C39">
        <v>315</v>
      </c>
      <c r="D39">
        <f t="shared" si="1"/>
        <v>13555</v>
      </c>
      <c r="E39">
        <v>912</v>
      </c>
      <c r="F39">
        <v>7.7</v>
      </c>
      <c r="G39">
        <v>3523</v>
      </c>
      <c r="H39">
        <v>570</v>
      </c>
      <c r="I39">
        <v>7.7</v>
      </c>
    </row>
    <row r="40" spans="1:9" x14ac:dyDescent="0.3">
      <c r="A40" t="s">
        <v>46</v>
      </c>
      <c r="B40">
        <v>3546</v>
      </c>
      <c r="C40">
        <v>0</v>
      </c>
      <c r="D40">
        <f t="shared" si="1"/>
        <v>3546</v>
      </c>
      <c r="E40">
        <v>888</v>
      </c>
      <c r="F40">
        <v>8</v>
      </c>
      <c r="G40">
        <v>2291</v>
      </c>
      <c r="H40">
        <v>492</v>
      </c>
      <c r="I40">
        <v>7.8</v>
      </c>
    </row>
    <row r="41" spans="1:9" x14ac:dyDescent="0.3">
      <c r="A41" t="s">
        <v>47</v>
      </c>
      <c r="B41">
        <v>9006</v>
      </c>
      <c r="C41">
        <v>337</v>
      </c>
      <c r="D41">
        <f t="shared" si="1"/>
        <v>9343</v>
      </c>
      <c r="E41">
        <v>689</v>
      </c>
      <c r="F41">
        <v>7.6</v>
      </c>
      <c r="G41">
        <v>3077</v>
      </c>
      <c r="H41">
        <v>560</v>
      </c>
      <c r="I41">
        <v>7.6</v>
      </c>
    </row>
    <row r="42" spans="1:9" x14ac:dyDescent="0.3">
      <c r="A42" t="s">
        <v>48</v>
      </c>
      <c r="B42">
        <v>18016</v>
      </c>
      <c r="C42">
        <v>814</v>
      </c>
      <c r="D42">
        <f t="shared" si="1"/>
        <v>18830</v>
      </c>
      <c r="E42">
        <v>1001</v>
      </c>
      <c r="F42">
        <v>7.9</v>
      </c>
      <c r="G42">
        <v>3838</v>
      </c>
      <c r="H42">
        <v>515</v>
      </c>
      <c r="I42">
        <v>7.6</v>
      </c>
    </row>
    <row r="43" spans="1:9" x14ac:dyDescent="0.3">
      <c r="A43" t="s">
        <v>49</v>
      </c>
      <c r="B43">
        <v>34000</v>
      </c>
      <c r="C43">
        <v>3262</v>
      </c>
      <c r="D43">
        <f t="shared" si="1"/>
        <v>37262</v>
      </c>
      <c r="E43">
        <v>1035</v>
      </c>
      <c r="F43">
        <v>7.5</v>
      </c>
      <c r="G43">
        <v>3406</v>
      </c>
      <c r="H43">
        <v>561</v>
      </c>
      <c r="I43">
        <v>7.6</v>
      </c>
    </row>
    <row r="44" spans="1:9" x14ac:dyDescent="0.3">
      <c r="A44" t="s">
        <v>50</v>
      </c>
      <c r="B44">
        <v>9712</v>
      </c>
      <c r="C44">
        <v>259</v>
      </c>
      <c r="D44">
        <f t="shared" si="1"/>
        <v>9971</v>
      </c>
      <c r="E44">
        <v>812</v>
      </c>
      <c r="F44">
        <v>7.8</v>
      </c>
      <c r="G44">
        <v>3246</v>
      </c>
      <c r="H44">
        <v>572</v>
      </c>
      <c r="I44">
        <v>8</v>
      </c>
    </row>
    <row r="45" spans="1:9" x14ac:dyDescent="0.3">
      <c r="A45" t="s">
        <v>51</v>
      </c>
      <c r="B45">
        <v>5453</v>
      </c>
      <c r="C45">
        <v>406</v>
      </c>
      <c r="D45">
        <f t="shared" si="1"/>
        <v>5859</v>
      </c>
      <c r="E45">
        <v>877</v>
      </c>
      <c r="F45">
        <v>7.6</v>
      </c>
      <c r="G45">
        <v>3355</v>
      </c>
      <c r="H45">
        <v>578</v>
      </c>
      <c r="I45">
        <v>7.7</v>
      </c>
    </row>
    <row r="46" spans="1:9" x14ac:dyDescent="0.3">
      <c r="A46" t="s">
        <v>52</v>
      </c>
      <c r="B46">
        <v>2802</v>
      </c>
      <c r="C46">
        <v>8</v>
      </c>
      <c r="D46">
        <f t="shared" si="1"/>
        <v>2810</v>
      </c>
      <c r="E46">
        <v>841</v>
      </c>
      <c r="F46">
        <v>7.6</v>
      </c>
      <c r="G46">
        <v>2907</v>
      </c>
      <c r="H46">
        <v>573</v>
      </c>
      <c r="I46">
        <v>7</v>
      </c>
    </row>
    <row r="47" spans="1:9" x14ac:dyDescent="0.3">
      <c r="A47" t="s">
        <v>53</v>
      </c>
      <c r="B47">
        <v>3081</v>
      </c>
      <c r="C47">
        <v>122</v>
      </c>
      <c r="D47">
        <f t="shared" si="1"/>
        <v>3203</v>
      </c>
      <c r="E47">
        <v>900</v>
      </c>
      <c r="F47">
        <v>7.9</v>
      </c>
      <c r="G47">
        <v>2234</v>
      </c>
      <c r="H47">
        <v>557</v>
      </c>
      <c r="I47">
        <v>8</v>
      </c>
    </row>
    <row r="48" spans="1:9" x14ac:dyDescent="0.3">
      <c r="A48" t="s">
        <v>54</v>
      </c>
      <c r="B48">
        <v>6435</v>
      </c>
      <c r="C48">
        <v>63</v>
      </c>
      <c r="D48">
        <f t="shared" si="1"/>
        <v>6498</v>
      </c>
      <c r="E48">
        <v>1188</v>
      </c>
      <c r="F48">
        <v>7.1</v>
      </c>
      <c r="G48">
        <v>2517</v>
      </c>
      <c r="H48">
        <v>577</v>
      </c>
      <c r="I48">
        <v>7.5</v>
      </c>
    </row>
    <row r="49" spans="1:9" x14ac:dyDescent="0.3">
      <c r="A49" t="s">
        <v>55</v>
      </c>
      <c r="B49">
        <v>10890</v>
      </c>
      <c r="C49">
        <v>173</v>
      </c>
      <c r="D49">
        <f t="shared" si="1"/>
        <v>11063</v>
      </c>
      <c r="E49">
        <v>1020</v>
      </c>
      <c r="F49">
        <v>7.6</v>
      </c>
      <c r="G49">
        <v>2903</v>
      </c>
      <c r="H49">
        <v>545</v>
      </c>
      <c r="I49">
        <v>6.9</v>
      </c>
    </row>
    <row r="50" spans="1:9" x14ac:dyDescent="0.3">
      <c r="A50" t="s">
        <v>56</v>
      </c>
      <c r="B50">
        <v>5229</v>
      </c>
      <c r="C50">
        <v>120</v>
      </c>
      <c r="D50">
        <f t="shared" si="1"/>
        <v>5349</v>
      </c>
      <c r="E50">
        <v>800</v>
      </c>
      <c r="F50">
        <v>7.7</v>
      </c>
      <c r="G50">
        <v>2900</v>
      </c>
      <c r="H50">
        <v>550</v>
      </c>
      <c r="I50">
        <v>7.7</v>
      </c>
    </row>
    <row r="51" spans="1:9" x14ac:dyDescent="0.3">
      <c r="A51" t="s">
        <v>57</v>
      </c>
      <c r="B51">
        <v>6177</v>
      </c>
      <c r="C51">
        <v>31</v>
      </c>
      <c r="D51">
        <f t="shared" si="1"/>
        <v>6208</v>
      </c>
      <c r="E51">
        <v>699</v>
      </c>
      <c r="F51">
        <v>7.6</v>
      </c>
      <c r="G51">
        <v>2195</v>
      </c>
      <c r="H51">
        <v>552</v>
      </c>
      <c r="I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Juneja, Shray</dc:creator>
  <cp:keywords/>
  <dc:description/>
  <cp:lastModifiedBy>Juneja, Shray</cp:lastModifiedBy>
  <cp:revision/>
  <dcterms:created xsi:type="dcterms:W3CDTF">2026-01-08T12:08:56Z</dcterms:created>
  <dcterms:modified xsi:type="dcterms:W3CDTF">2026-02-01T14:21:15Z</dcterms:modified>
  <cp:category/>
  <cp:contentStatus/>
</cp:coreProperties>
</file>